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ThisWorkbook"/>
  <xr:revisionPtr revIDLastSave="0" documentId="13_ncr:1_{83266398-3C7E-4A1E-A7F6-B7BFC44EFD5B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2" i="1" l="1"/>
  <c r="V2" i="1"/>
  <c r="P2" i="1"/>
  <c r="N2" i="1"/>
  <c r="J2" i="1"/>
  <c r="I2" i="1"/>
  <c r="F2" i="1"/>
</calcChain>
</file>

<file path=xl/sharedStrings.xml><?xml version="1.0" encoding="utf-8"?>
<sst xmlns="http://schemas.openxmlformats.org/spreadsheetml/2006/main" count="38" uniqueCount="38">
  <si>
    <t>Référence</t>
  </si>
  <si>
    <t>Couleur</t>
  </si>
  <si>
    <t>Taille</t>
  </si>
  <si>
    <t>Quantité</t>
  </si>
  <si>
    <t>Nom</t>
  </si>
  <si>
    <t>Marque</t>
  </si>
  <si>
    <t xml:space="preserve">Catégorie </t>
  </si>
  <si>
    <t>Sous-catégorie</t>
  </si>
  <si>
    <t>Sous-sous catégorie</t>
  </si>
  <si>
    <t>Composition</t>
  </si>
  <si>
    <t>Origine</t>
  </si>
  <si>
    <t>Prix d'achat</t>
  </si>
  <si>
    <t>Prix de gros</t>
  </si>
  <si>
    <t>Prix de gros soldé</t>
  </si>
  <si>
    <t>Prix de boutique</t>
  </si>
  <si>
    <t>Prix de boutique soldé</t>
  </si>
  <si>
    <t>Longueur cm</t>
  </si>
  <si>
    <t>Poid net kg</t>
  </si>
  <si>
    <t>Instructions lavage</t>
  </si>
  <si>
    <t>Taille de la mannequin cm</t>
  </si>
  <si>
    <t xml:space="preserve">Categories </t>
  </si>
  <si>
    <t xml:space="preserve">Feature (Name:Value:Position:Customized)
</t>
  </si>
  <si>
    <t>taxe id</t>
  </si>
  <si>
    <t>Collection</t>
    <phoneticPr fontId="5" type="noConversion"/>
  </si>
  <si>
    <t>Motif</t>
    <phoneticPr fontId="5" type="noConversion"/>
  </si>
  <si>
    <t>Ornella Paris</t>
  </si>
  <si>
    <t>Femme</t>
  </si>
  <si>
    <t>Italie</t>
  </si>
  <si>
    <t>Date</t>
  </si>
  <si>
    <t>Sup photo</t>
  </si>
  <si>
    <t>TU (EU38-44)</t>
  </si>
  <si>
    <t>Bleu,Gris,Vert,Rose</t>
  </si>
  <si>
    <t>100% lin</t>
  </si>
  <si>
    <t>PLL-71103G</t>
    <phoneticPr fontId="3" type="noConversion"/>
  </si>
  <si>
    <t>Robe</t>
    <phoneticPr fontId="5" type="noConversion"/>
  </si>
  <si>
    <t xml:space="preserve">Lavage à la machine </t>
  </si>
  <si>
    <t>Printemps/Été</t>
    <phoneticPr fontId="5" type="noConversion"/>
  </si>
  <si>
    <t>Rayure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</si>
</sst>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[$$]#,##0.00"/>
    <numFmt numFmtId="177" formatCode="0.00_);[Red]\(0.00\)"/>
    <numFmt numFmtId="178" formatCode="_ [$€-2]\ * #,##0.00_ ;_ [$€-2]\ * \-#,##0.00_ ;_ [$€-2]\ * &quot;-&quot;??_ ;_ @_ "/>
    <numFmt numFmtId="179" formatCode="#,##0.00\ [$€-40C]_);[Red]\(#,##0.00\ [$€-40C]\)"/>
  </numFmts>
  <fonts count="10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b/>
      <sz val="10"/>
      <color rgb="FF000000"/>
      <name val="Arial"/>
      <family val="2"/>
    </font>
    <font>
      <sz val="9"/>
      <name val="等线"/>
      <family val="3"/>
      <charset val="134"/>
      <scheme val="minor"/>
    </font>
    <font>
      <b/>
      <sz val="9"/>
      <name val="Poppins"/>
    </font>
    <font>
      <sz val="9"/>
      <name val="DengXian"/>
      <family val="3"/>
      <charset val="134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ED7D31"/>
        <bgColor rgb="FFED7D3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</cellStyleXfs>
  <cellXfs count="17">
    <xf numFmtId="0" fontId="0" fillId="0" borderId="0" xfId="0"/>
    <xf numFmtId="178" fontId="0" fillId="0" borderId="0" xfId="0" applyNumberFormat="1"/>
    <xf numFmtId="179" fontId="0" fillId="0" borderId="0" xfId="0" applyNumberFormat="1"/>
    <xf numFmtId="0" fontId="2" fillId="2" borderId="1" xfId="0" applyFont="1" applyFill="1" applyBorder="1"/>
    <xf numFmtId="178" fontId="4" fillId="3" borderId="1" xfId="0" applyNumberFormat="1" applyFont="1" applyFill="1" applyBorder="1" applyAlignment="1">
      <alignment horizontal="center" wrapText="1"/>
    </xf>
    <xf numFmtId="179" fontId="4" fillId="3" borderId="1" xfId="0" applyNumberFormat="1" applyFont="1" applyFill="1" applyBorder="1" applyAlignment="1">
      <alignment horizontal="center" wrapText="1"/>
    </xf>
    <xf numFmtId="176" fontId="4" fillId="3" borderId="1" xfId="0" applyNumberFormat="1" applyFont="1" applyFill="1" applyBorder="1" applyAlignment="1">
      <alignment horizontal="center" wrapText="1"/>
    </xf>
    <xf numFmtId="0" fontId="4" fillId="3" borderId="1" xfId="0" applyNumberFormat="1" applyFont="1" applyFill="1" applyBorder="1" applyAlignment="1">
      <alignment horizontal="center" wrapText="1"/>
    </xf>
    <xf numFmtId="177" fontId="4" fillId="3" borderId="1" xfId="0" applyNumberFormat="1" applyFont="1" applyFill="1" applyBorder="1" applyAlignment="1">
      <alignment horizontal="center" wrapText="1"/>
    </xf>
    <xf numFmtId="0" fontId="0" fillId="0" borderId="1" xfId="0" applyBorder="1" applyAlignment="1">
      <alignment wrapText="1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7" fillId="0" borderId="0" xfId="0" applyFont="1"/>
    <xf numFmtId="0" fontId="6" fillId="0" borderId="0" xfId="0" applyFont="1" applyAlignment="1">
      <alignment horizontal="center"/>
    </xf>
    <xf numFmtId="179" fontId="0" fillId="0" borderId="0" xfId="1" applyNumberFormat="1" applyFont="1" applyAlignment="1"/>
    <xf numFmtId="43" fontId="1" fillId="0" borderId="0" xfId="2" applyAlignment="1"/>
    <xf numFmtId="0" fontId="8" fillId="0" borderId="0" xfId="0" applyFont="1"/>
  </cellXfs>
  <cellStyles count="3">
    <cellStyle name="常规" xfId="0" builtinId="0"/>
    <cellStyle name="货币" xfId="1" builtinId="4"/>
    <cellStyle name="千位分隔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0</xdr:row>
          <xdr:rowOff>22860</xdr:rowOff>
        </xdr:from>
        <xdr:to>
          <xdr:col>5</xdr:col>
          <xdr:colOff>800100</xdr:colOff>
          <xdr:row>0</xdr:row>
          <xdr:rowOff>274320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生成子产品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830580</xdr:colOff>
          <xdr:row>0</xdr:row>
          <xdr:rowOff>22860</xdr:rowOff>
        </xdr:from>
        <xdr:to>
          <xdr:col>5</xdr:col>
          <xdr:colOff>1691640</xdr:colOff>
          <xdr:row>0</xdr:row>
          <xdr:rowOff>274320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翻译类型成分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1729740</xdr:colOff>
          <xdr:row>0</xdr:row>
          <xdr:rowOff>22860</xdr:rowOff>
        </xdr:from>
        <xdr:to>
          <xdr:col>5</xdr:col>
          <xdr:colOff>2331720</xdr:colOff>
          <xdr:row>0</xdr:row>
          <xdr:rowOff>274320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2369820</xdr:colOff>
          <xdr:row>0</xdr:row>
          <xdr:rowOff>22860</xdr:rowOff>
        </xdr:from>
        <xdr:to>
          <xdr:col>5</xdr:col>
          <xdr:colOff>3390900</xdr:colOff>
          <xdr:row>0</xdr:row>
          <xdr:rowOff>281940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生成导入文件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2"/>
  <sheetViews>
    <sheetView tabSelected="1" workbookViewId="0">
      <selection activeCell="D9" sqref="D9"/>
    </sheetView>
  </sheetViews>
  <sheetFormatPr defaultRowHeight="13.8"/>
  <cols>
    <col min="1" max="1" width="22.88671875" customWidth="1"/>
    <col min="2" max="2" width="42.44140625" bestFit="1" customWidth="1"/>
    <col min="3" max="3" width="14.109375" customWidth="1"/>
    <col min="4" max="4" width="9.6640625" customWidth="1"/>
    <col min="5" max="5" width="13.88671875" bestFit="1" customWidth="1"/>
    <col min="6" max="6" width="49.88671875" customWidth="1"/>
    <col min="7" max="7" width="12.5546875" bestFit="1" customWidth="1"/>
    <col min="8" max="8" width="10.5546875" bestFit="1" customWidth="1"/>
    <col min="9" max="9" width="15.21875" bestFit="1" customWidth="1"/>
    <col min="10" max="10" width="20.44140625" bestFit="1" customWidth="1"/>
    <col min="11" max="11" width="34.5546875" bestFit="1" customWidth="1"/>
    <col min="12" max="12" width="7.88671875" bestFit="1" customWidth="1"/>
    <col min="13" max="13" width="10.6640625" style="1" bestFit="1" customWidth="1"/>
    <col min="14" max="14" width="11" style="2" bestFit="1" customWidth="1"/>
    <col min="15" max="15" width="11" bestFit="1" customWidth="1"/>
    <col min="16" max="16" width="14.77734375" style="2" bestFit="1" customWidth="1"/>
    <col min="17" max="17" width="8.33203125" bestFit="1" customWidth="1"/>
    <col min="18" max="18" width="9" bestFit="1" customWidth="1"/>
    <col min="19" max="19" width="10.21875" bestFit="1" customWidth="1"/>
    <col min="20" max="20" width="21.44140625" bestFit="1" customWidth="1"/>
    <col min="21" max="21" width="10" bestFit="1" customWidth="1"/>
    <col min="22" max="22" width="28" bestFit="1" customWidth="1"/>
    <col min="23" max="23" width="179.109375" bestFit="1" customWidth="1"/>
    <col min="24" max="24" width="6.5546875" bestFit="1" customWidth="1"/>
    <col min="25" max="25" width="13.109375" bestFit="1" customWidth="1"/>
    <col min="26" max="26" width="15.88671875" bestFit="1" customWidth="1"/>
    <col min="27" max="27" width="9" bestFit="1" customWidth="1"/>
  </cols>
  <sheetData>
    <row r="1" spans="1:28" ht="52.2" customHeigh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/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4" t="s">
        <v>11</v>
      </c>
      <c r="N1" s="5" t="s">
        <v>12</v>
      </c>
      <c r="O1" s="6" t="s">
        <v>13</v>
      </c>
      <c r="P1" s="5" t="s">
        <v>14</v>
      </c>
      <c r="Q1" s="6" t="s">
        <v>15</v>
      </c>
      <c r="R1" s="7" t="s">
        <v>16</v>
      </c>
      <c r="S1" s="8" t="s">
        <v>17</v>
      </c>
      <c r="T1" s="6" t="s">
        <v>18</v>
      </c>
      <c r="U1" s="8" t="s">
        <v>19</v>
      </c>
      <c r="V1" s="6" t="s">
        <v>20</v>
      </c>
      <c r="W1" s="9" t="s">
        <v>21</v>
      </c>
      <c r="X1" s="6" t="s">
        <v>22</v>
      </c>
      <c r="Y1" s="6" t="s">
        <v>23</v>
      </c>
      <c r="Z1" s="6" t="s">
        <v>24</v>
      </c>
      <c r="AA1" s="6" t="s">
        <v>29</v>
      </c>
      <c r="AB1" s="6" t="s">
        <v>28</v>
      </c>
    </row>
    <row r="2" spans="1:28">
      <c r="A2" s="10" t="s">
        <v>33</v>
      </c>
      <c r="B2" t="s">
        <v>31</v>
      </c>
      <c r="C2" t="s">
        <v>30</v>
      </c>
      <c r="D2">
        <v>100</v>
      </c>
      <c r="E2" s="11" t="s">
        <v>34</v>
      </c>
      <c r="F2" t="str">
        <f>E2&amp;" "&amp;A2</f>
        <v>Robe PLL-71103G</v>
      </c>
      <c r="G2" t="s">
        <v>25</v>
      </c>
      <c r="H2" s="12" t="s">
        <v>26</v>
      </c>
      <c r="I2" t="str">
        <f>IF(C2="TU (EU42-48)","Grande taille","")</f>
        <v/>
      </c>
      <c r="J2" t="str">
        <f>E2</f>
        <v>Robe</v>
      </c>
      <c r="K2" s="11" t="s">
        <v>32</v>
      </c>
      <c r="L2" s="13" t="s">
        <v>27</v>
      </c>
      <c r="M2" s="14">
        <v>13.5</v>
      </c>
      <c r="N2" s="2">
        <f>M2*1.2+4</f>
        <v>20.2</v>
      </c>
      <c r="P2" s="2">
        <f>INT(N2*4)</f>
        <v>80</v>
      </c>
      <c r="R2">
        <v>118</v>
      </c>
      <c r="S2">
        <v>0.3</v>
      </c>
      <c r="T2" s="15" t="s">
        <v>35</v>
      </c>
      <c r="U2">
        <v>178</v>
      </c>
      <c r="V2" t="str">
        <f>IF(H2&lt;&gt;"",H2,"")&amp;IF(I2&lt;&gt;"",","&amp;I2,"")&amp;IF(J2&lt;&gt;"",","&amp;J2,"")</f>
        <v>Femme,Robe</v>
      </c>
      <c r="W2" t="str">
        <f>IF(K2&lt;&gt;"","Composition:"&amp;K2&amp;":0","")&amp;IF(L2&lt;&gt;"",",Origine:"&amp;L2&amp;":0","")&amp;IF(R2&lt;&gt;"",",Longeur:"&amp;R2&amp;":0","")&amp;IF(T2&lt;&gt;"",",Lavage:"&amp;T2&amp;":0","")&amp;IF(U2&lt;&gt;"",",Taille de la mannequin:"&amp;U2&amp;":0","")&amp;IF(ISNUMBER(FIND("TU",C2)),",Taille:"&amp;C2&amp;":0","")&amp;IF($Y2&lt;&gt;"",",Collection:"&amp;Y2&amp;":0","")&amp;IF($Z2&lt;&gt;"",",Motif:"&amp;Z2&amp;":0","")</f>
        <v>Composition:100% lin:0,Origine:Italie:0,Longeur:118:0,Lavage:Lavage à la machine :0,Taille de la mannequin:178:0,Taille:TU (EU38-44):0,Collection:Printemps/Été:0,Motif:Rayure:0</v>
      </c>
      <c r="X2">
        <v>53</v>
      </c>
      <c r="Y2" s="16" t="s">
        <v>36</v>
      </c>
      <c r="Z2" t="s">
        <v>37</v>
      </c>
      <c r="AA2">
        <v>1</v>
      </c>
      <c r="AB2">
        <v>20190301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duitEnfant">
                <anchor moveWithCells="1" sizeWithCells="1">
                  <from>
                    <xdr:col>5</xdr:col>
                    <xdr:colOff>22860</xdr:colOff>
                    <xdr:row>0</xdr:row>
                    <xdr:rowOff>22860</xdr:rowOff>
                  </from>
                  <to>
                    <xdr:col>5</xdr:col>
                    <xdr:colOff>800100</xdr:colOff>
                    <xdr:row>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ranslateType">
                <anchor moveWithCells="1" sizeWithCells="1">
                  <from>
                    <xdr:col>5</xdr:col>
                    <xdr:colOff>830580</xdr:colOff>
                    <xdr:row>0</xdr:row>
                    <xdr:rowOff>22860</xdr:rowOff>
                  </from>
                  <to>
                    <xdr:col>5</xdr:col>
                    <xdr:colOff>1691640</xdr:colOff>
                    <xdr:row>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riteSize">
                <anchor moveWithCells="1" sizeWithCells="1">
                  <from>
                    <xdr:col>5</xdr:col>
                    <xdr:colOff>1729740</xdr:colOff>
                    <xdr:row>0</xdr:row>
                    <xdr:rowOff>22860</xdr:rowOff>
                  </from>
                  <to>
                    <xdr:col>5</xdr:col>
                    <xdr:colOff>2331720</xdr:colOff>
                    <xdr:row>0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生成导入文件">
                <anchor moveWithCells="1" sizeWithCells="1">
                  <from>
                    <xdr:col>5</xdr:col>
                    <xdr:colOff>2369820</xdr:colOff>
                    <xdr:row>0</xdr:row>
                    <xdr:rowOff>22860</xdr:rowOff>
                  </from>
                  <to>
                    <xdr:col>5</xdr:col>
                    <xdr:colOff>3390900</xdr:colOff>
                    <xdr:row>0</xdr:row>
                    <xdr:rowOff>281940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2019-06-13T09:28:01Z</dcterms:modified>
</cp:coreProperties>
</file>